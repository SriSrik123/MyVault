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 Entries" sheetId="1" state="visible" r:id="rId3"/>
    <sheet name="Adjusting Entries" sheetId="2" state="visible" r:id="rId4"/>
    <sheet name="GL Detail" sheetId="3" state="hidden" r:id="rId5"/>
    <sheet name="Income Statement" sheetId="4" state="visible" r:id="rId6"/>
    <sheet name="Post-Closing Trial Bal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<sst xmlns="http://schemas.openxmlformats.org/spreadsheetml/2006/main" count="158" uniqueCount="67">
  <si>
    <t xml:space="preserve">Sunny Brew Coffee Co.: General Journal</t>
  </si>
  <si>
    <t xml:space="preserve">10 hypothetical journal entries: July 2026</t>
  </si>
  <si>
    <t xml:space="preserve">Date</t>
  </si>
  <si>
    <t xml:space="preserve">Account Titles</t>
  </si>
  <si>
    <t xml:space="preserve">Debit</t>
  </si>
  <si>
    <t xml:space="preserve">Credit</t>
  </si>
  <si>
    <t xml:space="preserve">7/1/2026</t>
  </si>
  <si>
    <t xml:space="preserve">Cash</t>
  </si>
  <si>
    <t xml:space="preserve">     Common Stock</t>
  </si>
  <si>
    <t xml:space="preserve">   Description: Owners Alex Rivera and Sam Patel invested cash to start the business.</t>
  </si>
  <si>
    <t xml:space="preserve">Prepaid Rent</t>
  </si>
  <si>
    <t xml:space="preserve">     Cash</t>
  </si>
  <si>
    <t xml:space="preserve">   Description: Paid 6 months of rent in advance ($600/month).</t>
  </si>
  <si>
    <t xml:space="preserve">7/2/2026</t>
  </si>
  <si>
    <t xml:space="preserve">Equipment</t>
  </si>
  <si>
    <t xml:space="preserve">     Accounts Payable</t>
  </si>
  <si>
    <t xml:space="preserve">   Description: Purchased espresso/catering equipment on account.</t>
  </si>
  <si>
    <t xml:space="preserve">7/5/2026</t>
  </si>
  <si>
    <t xml:space="preserve">Supplies</t>
  </si>
  <si>
    <t xml:space="preserve">   Description: Purchased coffee and catering supplies for cash.</t>
  </si>
  <si>
    <t xml:space="preserve">7/6/2026</t>
  </si>
  <si>
    <t xml:space="preserve">     Deferred Revenue</t>
  </si>
  <si>
    <t xml:space="preserve">   Description: Received cash in advance from a customer for a catering event to be held in August.</t>
  </si>
  <si>
    <t xml:space="preserve">7/10/2026</t>
  </si>
  <si>
    <t xml:space="preserve">Accounts Receivable</t>
  </si>
  <si>
    <t xml:space="preserve">     Service Revenue</t>
  </si>
  <si>
    <t xml:space="preserve">   Description: Performed catering services on account for a corporate client.</t>
  </si>
  <si>
    <t xml:space="preserve">7/12/2026</t>
  </si>
  <si>
    <t xml:space="preserve">Accounts Payable</t>
  </si>
  <si>
    <t xml:space="preserve">   Description: Paid the amount owed on the equipment purchased 7/2.</t>
  </si>
  <si>
    <t xml:space="preserve">7/15/2026</t>
  </si>
  <si>
    <t xml:space="preserve">   Description: Performed catering services for cash.</t>
  </si>
  <si>
    <t xml:space="preserve">7/18/2026</t>
  </si>
  <si>
    <t xml:space="preserve">     Accounts Receivable</t>
  </si>
  <si>
    <t xml:space="preserve">   Description: Collected part of the amount owed by the 7/10 customer.</t>
  </si>
  <si>
    <t xml:space="preserve">7/20/2026</t>
  </si>
  <si>
    <t xml:space="preserve">Wages Expense</t>
  </si>
  <si>
    <t xml:space="preserve">   Description: Paid wages to part-time baristas and staff.</t>
  </si>
  <si>
    <t xml:space="preserve">Sunny Brew Coffee Co.: Adjusting Journal Entries</t>
  </si>
  <si>
    <t xml:space="preserve">4 adjusting entries recorded at month-end: July 31, 2026</t>
  </si>
  <si>
    <t xml:space="preserve">7/31/2026</t>
  </si>
  <si>
    <t xml:space="preserve">Deferred Revenue</t>
  </si>
  <si>
    <t xml:space="preserve">   Description: Adjusting entry (deferred revenue): recognized revenue earned on the catering deposit received 7/6 (event partially serviced by month-end).</t>
  </si>
  <si>
    <t xml:space="preserve">Rent Expense</t>
  </si>
  <si>
    <t xml:space="preserve">     Prepaid Rent</t>
  </si>
  <si>
    <t xml:space="preserve">   Description: Adjusting entry (deferred/prepaid expense): recognized 1 of 6 months of prepaid rent used ($3,600 / 6).</t>
  </si>
  <si>
    <t xml:space="preserve">   Description: Adjusting entry (accrued revenue): recorded catering services performed in late July, not yet billed or collected.</t>
  </si>
  <si>
    <t xml:space="preserve">Utilities Expense</t>
  </si>
  <si>
    <t xml:space="preserve">     Utilities Payable</t>
  </si>
  <si>
    <t xml:space="preserve">   Description: Adjusting entry (accrued expense): recorded July utilities used; bill not yet received or paid.</t>
  </si>
  <si>
    <t xml:space="preserve">GL Detail (helper: every debit/credit line from Journal Entries + Adjusting Entries)</t>
  </si>
  <si>
    <t xml:space="preserve">Entry #</t>
  </si>
  <si>
    <t xml:space="preserve">Account</t>
  </si>
  <si>
    <t xml:space="preserve">Common Stock</t>
  </si>
  <si>
    <t xml:space="preserve">Service Revenue</t>
  </si>
  <si>
    <t xml:space="preserve">Utilities Payable</t>
  </si>
  <si>
    <t xml:space="preserve">Sunny Brew Coffee Co.</t>
  </si>
  <si>
    <t xml:space="preserve">Income Statement</t>
  </si>
  <si>
    <t xml:space="preserve">For the Month Ended July 31, 2026</t>
  </si>
  <si>
    <t xml:space="preserve">Revenue</t>
  </si>
  <si>
    <t xml:space="preserve">Expenses</t>
  </si>
  <si>
    <t xml:space="preserve">Total Expenses</t>
  </si>
  <si>
    <t xml:space="preserve">Net Income</t>
  </si>
  <si>
    <t xml:space="preserve">Post-Closing Trial Balance</t>
  </si>
  <si>
    <t xml:space="preserve">July 31, 2026</t>
  </si>
  <si>
    <t xml:space="preserve">Retained Earnings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</si>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</sst>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\$#,##0"/>
    <numFmt numFmtId="167" formatCode="\$#,##0;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6E5"/>
      </left>
      <right style="thin">
        <color rgb="FFB7C6E5"/>
      </right>
      <top style="thin">
        <color rgb="FFB7C6E5"/>
      </top>
      <bottom style="thin">
        <color rgb="FFB7C6E5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n">
        <v>20000</v>
      </c>
      <c r="D5" s="5"/>
    </row>
    <row r="6" customFormat="false" ht="15" hidden="false" customHeight="false" outlineLevel="0" collapsed="false">
      <c r="A6" s="4"/>
      <c r="B6" s="4" t="s">
        <v>8</v>
      </c>
      <c r="C6" s="5"/>
      <c r="D6" s="5" t="n">
        <v>20000</v>
      </c>
    </row>
    <row r="7" customFormat="false" ht="27.75" hidden="false" customHeight="true" outlineLevel="0" collapsed="false">
      <c r="A7" s="6" t="s">
        <v>9</v>
      </c>
      <c r="B7" s="6"/>
      <c r="C7" s="6"/>
      <c r="D7" s="6"/>
    </row>
    <row r="9" customFormat="false" ht="15" hidden="false" customHeight="false" outlineLevel="0" collapsed="false">
      <c r="A9" s="4" t="s">
        <v>6</v>
      </c>
      <c r="B9" s="4" t="s">
        <v>10</v>
      </c>
      <c r="C9" s="5" t="n">
        <v>3600</v>
      </c>
      <c r="D9" s="5"/>
    </row>
    <row r="10" customFormat="false" ht="15" hidden="false" customHeight="false" outlineLevel="0" collapsed="false">
      <c r="A10" s="4"/>
      <c r="B10" s="4" t="s">
        <v>11</v>
      </c>
      <c r="C10" s="5"/>
      <c r="D10" s="5" t="n">
        <v>3600</v>
      </c>
    </row>
    <row r="11" customFormat="false" ht="27.75" hidden="false" customHeight="true" outlineLevel="0" collapsed="false">
      <c r="A11" s="6" t="s">
        <v>12</v>
      </c>
      <c r="B11" s="6"/>
      <c r="C11" s="6"/>
      <c r="D11" s="6"/>
    </row>
    <row r="13" customFormat="false" ht="15" hidden="false" customHeight="false" outlineLevel="0" collapsed="false">
      <c r="A13" s="4" t="s">
        <v>13</v>
      </c>
      <c r="B13" s="4" t="s">
        <v>14</v>
      </c>
      <c r="C13" s="5" t="n">
        <v>8000</v>
      </c>
      <c r="D13" s="5"/>
    </row>
    <row r="14" customFormat="false" ht="15" hidden="false" customHeight="false" outlineLevel="0" collapsed="false">
      <c r="A14" s="4"/>
      <c r="B14" s="4" t="s">
        <v>15</v>
      </c>
      <c r="C14" s="5"/>
      <c r="D14" s="5" t="n">
        <v>8000</v>
      </c>
    </row>
    <row r="15" customFormat="false" ht="27.75" hidden="false" customHeight="true" outlineLevel="0" collapsed="false">
      <c r="A15" s="6" t="s">
        <v>16</v>
      </c>
      <c r="B15" s="6"/>
      <c r="C15" s="6"/>
      <c r="D15" s="6"/>
    </row>
    <row r="17" customFormat="false" ht="15" hidden="false" customHeight="false" outlineLevel="0" collapsed="false">
      <c r="A17" s="4" t="s">
        <v>17</v>
      </c>
      <c r="B17" s="4" t="s">
        <v>18</v>
      </c>
      <c r="C17" s="5" t="n">
        <v>500</v>
      </c>
      <c r="D17" s="5"/>
    </row>
    <row r="18" customFormat="false" ht="15" hidden="false" customHeight="false" outlineLevel="0" collapsed="false">
      <c r="A18" s="4"/>
      <c r="B18" s="4" t="s">
        <v>11</v>
      </c>
      <c r="C18" s="5"/>
      <c r="D18" s="5" t="n">
        <v>500</v>
      </c>
    </row>
    <row r="19" customFormat="false" ht="27.75" hidden="false" customHeight="true" outlineLevel="0" collapsed="false">
      <c r="A19" s="6" t="s">
        <v>19</v>
      </c>
      <c r="B19" s="6"/>
      <c r="C19" s="6"/>
      <c r="D19" s="6"/>
    </row>
    <row r="21" customFormat="false" ht="15" hidden="false" customHeight="false" outlineLevel="0" collapsed="false">
      <c r="A21" s="4" t="s">
        <v>20</v>
      </c>
      <c r="B21" s="4" t="s">
        <v>7</v>
      </c>
      <c r="C21" s="5" t="n">
        <v>2000</v>
      </c>
      <c r="D21" s="5"/>
    </row>
    <row r="22" customFormat="false" ht="15" hidden="false" customHeight="false" outlineLevel="0" collapsed="false">
      <c r="A22" s="4"/>
      <c r="B22" s="4" t="s">
        <v>21</v>
      </c>
      <c r="C22" s="5"/>
      <c r="D22" s="5" t="n">
        <v>2000</v>
      </c>
    </row>
    <row r="23" customFormat="false" ht="27.75" hidden="false" customHeight="true" outlineLevel="0" collapsed="false">
      <c r="A23" s="6" t="s">
        <v>22</v>
      </c>
      <c r="B23" s="6"/>
      <c r="C23" s="6"/>
      <c r="D23" s="6"/>
    </row>
    <row r="25" customFormat="false" ht="15" hidden="false" customHeight="false" outlineLevel="0" collapsed="false">
      <c r="A25" s="4" t="s">
        <v>23</v>
      </c>
      <c r="B25" s="4" t="s">
        <v>24</v>
      </c>
      <c r="C25" s="5" t="n">
        <v>4500</v>
      </c>
      <c r="D25" s="5"/>
    </row>
    <row r="26" customFormat="false" ht="15" hidden="false" customHeight="false" outlineLevel="0" collapsed="false">
      <c r="A26" s="4"/>
      <c r="B26" s="4" t="s">
        <v>25</v>
      </c>
      <c r="C26" s="5"/>
      <c r="D26" s="5" t="n">
        <v>4500</v>
      </c>
    </row>
    <row r="27" customFormat="false" ht="27.75" hidden="false" customHeight="true" outlineLevel="0" collapsed="false">
      <c r="A27" s="6" t="s">
        <v>26</v>
      </c>
      <c r="B27" s="6"/>
      <c r="C27" s="6"/>
      <c r="D27" s="6"/>
    </row>
    <row r="29" customFormat="false" ht="15" hidden="false" customHeight="false" outlineLevel="0" collapsed="false">
      <c r="A29" s="4" t="s">
        <v>27</v>
      </c>
      <c r="B29" s="4" t="s">
        <v>28</v>
      </c>
      <c r="C29" s="5" t="n">
        <v>8000</v>
      </c>
      <c r="D29" s="5"/>
    </row>
    <row r="30" customFormat="false" ht="15" hidden="false" customHeight="false" outlineLevel="0" collapsed="false">
      <c r="A30" s="4"/>
      <c r="B30" s="4" t="s">
        <v>11</v>
      </c>
      <c r="C30" s="5"/>
      <c r="D30" s="5" t="n">
        <v>8000</v>
      </c>
    </row>
    <row r="31" customFormat="false" ht="27.75" hidden="false" customHeight="true" outlineLevel="0" collapsed="false">
      <c r="A31" s="6" t="s">
        <v>29</v>
      </c>
      <c r="B31" s="6"/>
      <c r="C31" s="6"/>
      <c r="D31" s="6"/>
    </row>
    <row r="33" customFormat="false" ht="15" hidden="false" customHeight="false" outlineLevel="0" collapsed="false">
      <c r="A33" s="4" t="s">
        <v>30</v>
      </c>
      <c r="B33" s="4" t="s">
        <v>7</v>
      </c>
      <c r="C33" s="5" t="n">
        <v>3000</v>
      </c>
      <c r="D33" s="5"/>
    </row>
    <row r="34" customFormat="false" ht="15" hidden="false" customHeight="false" outlineLevel="0" collapsed="false">
      <c r="A34" s="4"/>
      <c r="B34" s="4" t="s">
        <v>25</v>
      </c>
      <c r="C34" s="5"/>
      <c r="D34" s="5" t="n">
        <v>3000</v>
      </c>
    </row>
    <row r="35" customFormat="false" ht="27.75" hidden="false" customHeight="true" outlineLevel="0" collapsed="false">
      <c r="A35" s="6" t="s">
        <v>31</v>
      </c>
      <c r="B35" s="6"/>
      <c r="C35" s="6"/>
      <c r="D35" s="6"/>
    </row>
    <row r="37" customFormat="false" ht="15" hidden="false" customHeight="false" outlineLevel="0" collapsed="false">
      <c r="A37" s="4" t="s">
        <v>32</v>
      </c>
      <c r="B37" s="4" t="s">
        <v>7</v>
      </c>
      <c r="C37" s="5" t="n">
        <v>2500</v>
      </c>
      <c r="D37" s="5"/>
    </row>
    <row r="38" customFormat="false" ht="15" hidden="false" customHeight="false" outlineLevel="0" collapsed="false">
      <c r="A38" s="4"/>
      <c r="B38" s="4" t="s">
        <v>33</v>
      </c>
      <c r="C38" s="5"/>
      <c r="D38" s="5" t="n">
        <v>2500</v>
      </c>
    </row>
    <row r="39" customFormat="false" ht="27.75" hidden="false" customHeight="true" outlineLevel="0" collapsed="false">
      <c r="A39" s="6" t="s">
        <v>34</v>
      </c>
      <c r="B39" s="6"/>
      <c r="C39" s="6"/>
      <c r="D39" s="6"/>
    </row>
    <row r="41" customFormat="false" ht="15" hidden="false" customHeight="false" outlineLevel="0" collapsed="false">
      <c r="A41" s="4" t="s">
        <v>35</v>
      </c>
      <c r="B41" s="4" t="s">
        <v>36</v>
      </c>
      <c r="C41" s="5" t="n">
        <v>1800</v>
      </c>
      <c r="D41" s="5"/>
    </row>
    <row r="42" customFormat="false" ht="15" hidden="false" customHeight="false" outlineLevel="0" collapsed="false">
      <c r="A42" s="4"/>
      <c r="B42" s="4" t="s">
        <v>11</v>
      </c>
      <c r="C42" s="5"/>
      <c r="D42" s="5" t="n">
        <v>1800</v>
      </c>
    </row>
    <row r="43" customFormat="false" ht="27.75" hidden="false" customHeight="true" outlineLevel="0" collapsed="false">
      <c r="A43" s="6" t="s">
        <v>37</v>
      </c>
      <c r="B43" s="6"/>
      <c r="C43" s="6"/>
      <c r="D43" s="6"/>
    </row>
  </sheetData>
  <mergeCells count="12">
    <mergeCell ref="A1:D1"/>
    <mergeCell ref="A2:D2"/>
    <mergeCell ref="A7:D7"/>
    <mergeCell ref="A11:D11"/>
    <mergeCell ref="A15:D15"/>
    <mergeCell ref="A19:D19"/>
    <mergeCell ref="A23:D23"/>
    <mergeCell ref="A27:D27"/>
    <mergeCell ref="A31:D31"/>
    <mergeCell ref="A35:D35"/>
    <mergeCell ref="A39:D39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</row>
    <row r="2" customFormat="false" ht="15" hidden="false" customHeight="false" outlineLevel="0" collapsed="false">
      <c r="A2" s="2" t="s">
        <v>39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40</v>
      </c>
      <c r="B5" s="4" t="s">
        <v>41</v>
      </c>
      <c r="C5" s="5" t="n">
        <v>800</v>
      </c>
      <c r="D5" s="5"/>
    </row>
    <row r="6" customFormat="false" ht="15" hidden="false" customHeight="false" outlineLevel="0" collapsed="false">
      <c r="A6" s="4"/>
      <c r="B6" s="4" t="s">
        <v>25</v>
      </c>
      <c r="C6" s="5"/>
      <c r="D6" s="5" t="n">
        <v>800</v>
      </c>
    </row>
    <row r="7" customFormat="false" ht="27.75" hidden="false" customHeight="true" outlineLevel="0" collapsed="false">
      <c r="A7" s="6" t="s">
        <v>42</v>
      </c>
      <c r="B7" s="6"/>
      <c r="C7" s="6"/>
      <c r="D7" s="6"/>
    </row>
    <row r="9" customFormat="false" ht="15" hidden="false" customHeight="false" outlineLevel="0" collapsed="false">
      <c r="A9" s="4" t="s">
        <v>40</v>
      </c>
      <c r="B9" s="4" t="s">
        <v>43</v>
      </c>
      <c r="C9" s="5" t="n">
        <v>600</v>
      </c>
      <c r="D9" s="5"/>
    </row>
    <row r="10" customFormat="false" ht="15" hidden="false" customHeight="false" outlineLevel="0" collapsed="false">
      <c r="A10" s="4"/>
      <c r="B10" s="4" t="s">
        <v>44</v>
      </c>
      <c r="C10" s="5"/>
      <c r="D10" s="5" t="n">
        <v>600</v>
      </c>
    </row>
    <row r="11" customFormat="false" ht="27.75" hidden="false" customHeight="true" outlineLevel="0" collapsed="false">
      <c r="A11" s="6" t="s">
        <v>45</v>
      </c>
      <c r="B11" s="6"/>
      <c r="C11" s="6"/>
      <c r="D11" s="6"/>
    </row>
    <row r="13" customFormat="false" ht="15" hidden="false" customHeight="false" outlineLevel="0" collapsed="false">
      <c r="A13" s="4" t="s">
        <v>40</v>
      </c>
      <c r="B13" s="4" t="s">
        <v>24</v>
      </c>
      <c r="C13" s="5" t="n">
        <v>1200</v>
      </c>
      <c r="D13" s="5"/>
    </row>
    <row r="14" customFormat="false" ht="15" hidden="false" customHeight="false" outlineLevel="0" collapsed="false">
      <c r="A14" s="4"/>
      <c r="B14" s="4" t="s">
        <v>25</v>
      </c>
      <c r="C14" s="5"/>
      <c r="D14" s="5" t="n">
        <v>1200</v>
      </c>
    </row>
    <row r="15" customFormat="false" ht="27.75" hidden="false" customHeight="true" outlineLevel="0" collapsed="false">
      <c r="A15" s="6" t="s">
        <v>46</v>
      </c>
      <c r="B15" s="6"/>
      <c r="C15" s="6"/>
      <c r="D15" s="6"/>
    </row>
    <row r="17" customFormat="false" ht="15" hidden="false" customHeight="false" outlineLevel="0" collapsed="false">
      <c r="A17" s="4" t="s">
        <v>40</v>
      </c>
      <c r="B17" s="4" t="s">
        <v>47</v>
      </c>
      <c r="C17" s="5" t="n">
        <v>350</v>
      </c>
      <c r="D17" s="5"/>
    </row>
    <row r="18" customFormat="false" ht="15" hidden="false" customHeight="false" outlineLevel="0" collapsed="false">
      <c r="A18" s="4"/>
      <c r="B18" s="4" t="s">
        <v>48</v>
      </c>
      <c r="C18" s="5"/>
      <c r="D18" s="5" t="n">
        <v>350</v>
      </c>
    </row>
    <row r="19" customFormat="false" ht="27.75" hidden="false" customHeight="true" outlineLevel="0" collapsed="false">
      <c r="A19" s="6" t="s">
        <v>49</v>
      </c>
      <c r="B19" s="6"/>
      <c r="C19" s="6"/>
      <c r="D19" s="6"/>
    </row>
  </sheetData>
  <mergeCells count="6">
    <mergeCell ref="A1:D1"/>
    <mergeCell ref="A2:D2"/>
    <mergeCell ref="A7:D7"/>
    <mergeCell ref="A11:D11"/>
    <mergeCell ref="A15:D15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7" t="s">
        <v>50</v>
      </c>
    </row>
    <row r="3" customFormat="false" ht="15" hidden="false" customHeight="false" outlineLevel="0" collapsed="false">
      <c r="A3" s="7" t="s">
        <v>51</v>
      </c>
      <c r="B3" s="7" t="s">
        <v>2</v>
      </c>
      <c r="C3" s="7" t="s">
        <v>52</v>
      </c>
      <c r="D3" s="7" t="s">
        <v>4</v>
      </c>
      <c r="E3" s="7" t="s">
        <v>5</v>
      </c>
    </row>
    <row r="4" customFormat="false" ht="15" hidden="false" customHeight="false" outlineLevel="0" collapsed="false">
      <c r="A4" s="0" t="n">
        <v>1</v>
      </c>
      <c r="B4" s="0" t="s">
        <v>6</v>
      </c>
      <c r="C4" s="0" t="s">
        <v>7</v>
      </c>
      <c r="D4" s="0" t="n">
        <v>20000</v>
      </c>
      <c r="E4" s="0" t="n">
        <v>0</v>
      </c>
    </row>
    <row r="5" customFormat="false" ht="15" hidden="false" customHeight="false" outlineLevel="0" collapsed="false">
      <c r="A5" s="0" t="n">
        <v>1</v>
      </c>
      <c r="B5" s="0" t="s">
        <v>6</v>
      </c>
      <c r="C5" s="0" t="s">
        <v>53</v>
      </c>
      <c r="D5" s="0" t="n">
        <v>0</v>
      </c>
      <c r="E5" s="0" t="n">
        <v>20000</v>
      </c>
    </row>
    <row r="6" customFormat="false" ht="15" hidden="false" customHeight="false" outlineLevel="0" collapsed="false">
      <c r="A6" s="0" t="n">
        <v>2</v>
      </c>
      <c r="B6" s="0" t="s">
        <v>6</v>
      </c>
      <c r="C6" s="0" t="s">
        <v>10</v>
      </c>
      <c r="D6" s="0" t="n">
        <v>3600</v>
      </c>
      <c r="E6" s="0" t="n">
        <v>0</v>
      </c>
    </row>
    <row r="7" customFormat="false" ht="15" hidden="false" customHeight="false" outlineLevel="0" collapsed="false">
      <c r="A7" s="0" t="n">
        <v>2</v>
      </c>
      <c r="B7" s="0" t="s">
        <v>6</v>
      </c>
      <c r="C7" s="0" t="s">
        <v>7</v>
      </c>
      <c r="D7" s="0" t="n">
        <v>0</v>
      </c>
      <c r="E7" s="0" t="n">
        <v>3600</v>
      </c>
    </row>
    <row r="8" customFormat="false" ht="15" hidden="false" customHeight="false" outlineLevel="0" collapsed="false">
      <c r="A8" s="0" t="n">
        <v>3</v>
      </c>
      <c r="B8" s="0" t="s">
        <v>13</v>
      </c>
      <c r="C8" s="0" t="s">
        <v>14</v>
      </c>
      <c r="D8" s="0" t="n">
        <v>8000</v>
      </c>
      <c r="E8" s="0" t="n">
        <v>0</v>
      </c>
    </row>
    <row r="9" customFormat="false" ht="15" hidden="false" customHeight="false" outlineLevel="0" collapsed="false">
      <c r="A9" s="0" t="n">
        <v>3</v>
      </c>
      <c r="B9" s="0" t="s">
        <v>13</v>
      </c>
      <c r="C9" s="0" t="s">
        <v>28</v>
      </c>
      <c r="D9" s="0" t="n">
        <v>0</v>
      </c>
      <c r="E9" s="0" t="n">
        <v>8000</v>
      </c>
    </row>
    <row r="10" customFormat="false" ht="15" hidden="false" customHeight="false" outlineLevel="0" collapsed="false">
      <c r="A10" s="0" t="n">
        <v>4</v>
      </c>
      <c r="B10" s="0" t="s">
        <v>17</v>
      </c>
      <c r="C10" s="0" t="s">
        <v>18</v>
      </c>
      <c r="D10" s="0" t="n">
        <v>500</v>
      </c>
      <c r="E10" s="0" t="n">
        <v>0</v>
      </c>
    </row>
    <row r="11" customFormat="false" ht="15" hidden="false" customHeight="false" outlineLevel="0" collapsed="false">
      <c r="A11" s="0" t="n">
        <v>4</v>
      </c>
      <c r="B11" s="0" t="s">
        <v>17</v>
      </c>
      <c r="C11" s="0" t="s">
        <v>7</v>
      </c>
      <c r="D11" s="0" t="n">
        <v>0</v>
      </c>
      <c r="E11" s="0" t="n">
        <v>500</v>
      </c>
    </row>
    <row r="12" customFormat="false" ht="15" hidden="false" customHeight="false" outlineLevel="0" collapsed="false">
      <c r="A12" s="0" t="n">
        <v>5</v>
      </c>
      <c r="B12" s="0" t="s">
        <v>20</v>
      </c>
      <c r="C12" s="0" t="s">
        <v>7</v>
      </c>
      <c r="D12" s="0" t="n">
        <v>2000</v>
      </c>
      <c r="E12" s="0" t="n">
        <v>0</v>
      </c>
    </row>
    <row r="13" customFormat="false" ht="15" hidden="false" customHeight="false" outlineLevel="0" collapsed="false">
      <c r="A13" s="0" t="n">
        <v>5</v>
      </c>
      <c r="B13" s="0" t="s">
        <v>20</v>
      </c>
      <c r="C13" s="0" t="s">
        <v>41</v>
      </c>
      <c r="D13" s="0" t="n">
        <v>0</v>
      </c>
      <c r="E13" s="0" t="n">
        <v>2000</v>
      </c>
    </row>
    <row r="14" customFormat="false" ht="15" hidden="false" customHeight="false" outlineLevel="0" collapsed="false">
      <c r="A14" s="0" t="n">
        <v>6</v>
      </c>
      <c r="B14" s="0" t="s">
        <v>23</v>
      </c>
      <c r="C14" s="0" t="s">
        <v>24</v>
      </c>
      <c r="D14" s="0" t="n">
        <v>4500</v>
      </c>
      <c r="E14" s="0" t="n">
        <v>0</v>
      </c>
    </row>
    <row r="15" customFormat="false" ht="15" hidden="false" customHeight="false" outlineLevel="0" collapsed="false">
      <c r="A15" s="0" t="n">
        <v>6</v>
      </c>
      <c r="B15" s="0" t="s">
        <v>23</v>
      </c>
      <c r="C15" s="0" t="s">
        <v>54</v>
      </c>
      <c r="D15" s="0" t="n">
        <v>0</v>
      </c>
      <c r="E15" s="0" t="n">
        <v>4500</v>
      </c>
    </row>
    <row r="16" customFormat="false" ht="15" hidden="false" customHeight="false" outlineLevel="0" collapsed="false">
      <c r="A16" s="0" t="n">
        <v>7</v>
      </c>
      <c r="B16" s="0" t="s">
        <v>27</v>
      </c>
      <c r="C16" s="0" t="s">
        <v>28</v>
      </c>
      <c r="D16" s="0" t="n">
        <v>8000</v>
      </c>
      <c r="E16" s="0" t="n">
        <v>0</v>
      </c>
    </row>
    <row r="17" customFormat="false" ht="15" hidden="false" customHeight="false" outlineLevel="0" collapsed="false">
      <c r="A17" s="0" t="n">
        <v>7</v>
      </c>
      <c r="B17" s="0" t="s">
        <v>27</v>
      </c>
      <c r="C17" s="0" t="s">
        <v>7</v>
      </c>
      <c r="D17" s="0" t="n">
        <v>0</v>
      </c>
      <c r="E17" s="0" t="n">
        <v>8000</v>
      </c>
    </row>
    <row r="18" customFormat="false" ht="15" hidden="false" customHeight="false" outlineLevel="0" collapsed="false">
      <c r="A18" s="0" t="n">
        <v>8</v>
      </c>
      <c r="B18" s="0" t="s">
        <v>30</v>
      </c>
      <c r="C18" s="0" t="s">
        <v>7</v>
      </c>
      <c r="D18" s="0" t="n">
        <v>3000</v>
      </c>
      <c r="E18" s="0" t="n">
        <v>0</v>
      </c>
    </row>
    <row r="19" customFormat="false" ht="15" hidden="false" customHeight="false" outlineLevel="0" collapsed="false">
      <c r="A19" s="0" t="n">
        <v>8</v>
      </c>
      <c r="B19" s="0" t="s">
        <v>30</v>
      </c>
      <c r="C19" s="0" t="s">
        <v>54</v>
      </c>
      <c r="D19" s="0" t="n">
        <v>0</v>
      </c>
      <c r="E19" s="0" t="n">
        <v>3000</v>
      </c>
    </row>
    <row r="20" customFormat="false" ht="15" hidden="false" customHeight="false" outlineLevel="0" collapsed="false">
      <c r="A20" s="0" t="n">
        <v>9</v>
      </c>
      <c r="B20" s="0" t="s">
        <v>32</v>
      </c>
      <c r="C20" s="0" t="s">
        <v>7</v>
      </c>
      <c r="D20" s="0" t="n">
        <v>2500</v>
      </c>
      <c r="E20" s="0" t="n">
        <v>0</v>
      </c>
    </row>
    <row r="21" customFormat="false" ht="15" hidden="false" customHeight="false" outlineLevel="0" collapsed="false">
      <c r="A21" s="0" t="n">
        <v>9</v>
      </c>
      <c r="B21" s="0" t="s">
        <v>32</v>
      </c>
      <c r="C21" s="0" t="s">
        <v>24</v>
      </c>
      <c r="D21" s="0" t="n">
        <v>0</v>
      </c>
      <c r="E21" s="0" t="n">
        <v>2500</v>
      </c>
    </row>
    <row r="22" customFormat="false" ht="15" hidden="false" customHeight="false" outlineLevel="0" collapsed="false">
      <c r="A22" s="0" t="n">
        <v>10</v>
      </c>
      <c r="B22" s="0" t="s">
        <v>35</v>
      </c>
      <c r="C22" s="0" t="s">
        <v>36</v>
      </c>
      <c r="D22" s="0" t="n">
        <v>1800</v>
      </c>
      <c r="E22" s="0" t="n">
        <v>0</v>
      </c>
    </row>
    <row r="23" customFormat="false" ht="15" hidden="false" customHeight="false" outlineLevel="0" collapsed="false">
      <c r="A23" s="0" t="n">
        <v>10</v>
      </c>
      <c r="B23" s="0" t="s">
        <v>35</v>
      </c>
      <c r="C23" s="0" t="s">
        <v>7</v>
      </c>
      <c r="D23" s="0" t="n">
        <v>0</v>
      </c>
      <c r="E23" s="0" t="n">
        <v>1800</v>
      </c>
    </row>
    <row r="24" customFormat="false" ht="15" hidden="false" customHeight="false" outlineLevel="0" collapsed="false">
      <c r="A24" s="0" t="n">
        <v>11</v>
      </c>
      <c r="B24" s="0" t="s">
        <v>40</v>
      </c>
      <c r="C24" s="0" t="s">
        <v>41</v>
      </c>
      <c r="D24" s="0" t="n">
        <v>800</v>
      </c>
      <c r="E24" s="0" t="n">
        <v>0</v>
      </c>
    </row>
    <row r="25" customFormat="false" ht="15" hidden="false" customHeight="false" outlineLevel="0" collapsed="false">
      <c r="A25" s="0" t="n">
        <v>11</v>
      </c>
      <c r="B25" s="0" t="s">
        <v>40</v>
      </c>
      <c r="C25" s="0" t="s">
        <v>54</v>
      </c>
      <c r="D25" s="0" t="n">
        <v>0</v>
      </c>
      <c r="E25" s="0" t="n">
        <v>800</v>
      </c>
    </row>
    <row r="26" customFormat="false" ht="15" hidden="false" customHeight="false" outlineLevel="0" collapsed="false">
      <c r="A26" s="0" t="n">
        <v>12</v>
      </c>
      <c r="B26" s="0" t="s">
        <v>40</v>
      </c>
      <c r="C26" s="0" t="s">
        <v>43</v>
      </c>
      <c r="D26" s="0" t="n">
        <v>600</v>
      </c>
      <c r="E26" s="0" t="n">
        <v>0</v>
      </c>
    </row>
    <row r="27" customFormat="false" ht="15" hidden="false" customHeight="false" outlineLevel="0" collapsed="false">
      <c r="A27" s="0" t="n">
        <v>12</v>
      </c>
      <c r="B27" s="0" t="s">
        <v>40</v>
      </c>
      <c r="C27" s="0" t="s">
        <v>10</v>
      </c>
      <c r="D27" s="0" t="n">
        <v>0</v>
      </c>
      <c r="E27" s="0" t="n">
        <v>600</v>
      </c>
    </row>
    <row r="28" customFormat="false" ht="15" hidden="false" customHeight="false" outlineLevel="0" collapsed="false">
      <c r="A28" s="0" t="n">
        <v>13</v>
      </c>
      <c r="B28" s="0" t="s">
        <v>40</v>
      </c>
      <c r="C28" s="0" t="s">
        <v>24</v>
      </c>
      <c r="D28" s="0" t="n">
        <v>1200</v>
      </c>
      <c r="E28" s="0" t="n">
        <v>0</v>
      </c>
    </row>
    <row r="29" customFormat="false" ht="15" hidden="false" customHeight="false" outlineLevel="0" collapsed="false">
      <c r="A29" s="0" t="n">
        <v>13</v>
      </c>
      <c r="B29" s="0" t="s">
        <v>40</v>
      </c>
      <c r="C29" s="0" t="s">
        <v>54</v>
      </c>
      <c r="D29" s="0" t="n">
        <v>0</v>
      </c>
      <c r="E29" s="0" t="n">
        <v>1200</v>
      </c>
    </row>
    <row r="30" customFormat="false" ht="15" hidden="false" customHeight="false" outlineLevel="0" collapsed="false">
      <c r="A30" s="0" t="n">
        <v>14</v>
      </c>
      <c r="B30" s="0" t="s">
        <v>40</v>
      </c>
      <c r="C30" s="0" t="s">
        <v>47</v>
      </c>
      <c r="D30" s="0" t="n">
        <v>350</v>
      </c>
      <c r="E30" s="0" t="n">
        <v>0</v>
      </c>
    </row>
    <row r="31" customFormat="false" ht="15" hidden="false" customHeight="false" outlineLevel="0" collapsed="false">
      <c r="A31" s="0" t="n">
        <v>14</v>
      </c>
      <c r="B31" s="0" t="s">
        <v>40</v>
      </c>
      <c r="C31" s="0" t="s">
        <v>55</v>
      </c>
      <c r="D31" s="0" t="n">
        <v>0</v>
      </c>
      <c r="E31" s="0" t="n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56</v>
      </c>
      <c r="B1" s="1"/>
      <c r="C1" s="1"/>
    </row>
    <row r="2" customFormat="false" ht="15" hidden="false" customHeight="false" outlineLevel="0" collapsed="false">
      <c r="A2" s="2" t="s">
        <v>57</v>
      </c>
      <c r="B2" s="2"/>
      <c r="C2" s="2"/>
    </row>
    <row r="3" customFormat="false" ht="15" hidden="false" customHeight="false" outlineLevel="0" collapsed="false">
      <c r="A3" s="2" t="s">
        <v>58</v>
      </c>
      <c r="B3" s="2"/>
      <c r="C3" s="2"/>
    </row>
    <row r="5" customFormat="false" ht="15" hidden="false" customHeight="false" outlineLevel="0" collapsed="false">
      <c r="A5" s="7" t="s">
        <v>59</v>
      </c>
    </row>
    <row r="6" customFormat="false" ht="15" hidden="false" customHeight="false" outlineLevel="0" collapsed="false">
      <c r="B6" s="8" t="s">
        <v>54</v>
      </c>
      <c r="C6" s="9" t="n">
        <f aca="false">SUMIF('GL Detail'!$C$4:$C$31,"Service Revenue",'GL Detail'!$E$4:$E$31)</f>
        <v>9500</v>
      </c>
    </row>
    <row r="8" customFormat="false" ht="15" hidden="false" customHeight="false" outlineLevel="0" collapsed="false">
      <c r="A8" s="7" t="s">
        <v>60</v>
      </c>
    </row>
    <row r="9" customFormat="false" ht="15" hidden="false" customHeight="false" outlineLevel="0" collapsed="false">
      <c r="B9" s="8" t="s">
        <v>43</v>
      </c>
      <c r="C9" s="9" t="n">
        <f aca="false">SUMIF('GL Detail'!$C$4:$C$31,"Rent Expense",'GL Detail'!$D$4:$D$31)</f>
        <v>600</v>
      </c>
    </row>
    <row r="10" customFormat="false" ht="15" hidden="false" customHeight="false" outlineLevel="0" collapsed="false">
      <c r="B10" s="8" t="s">
        <v>36</v>
      </c>
      <c r="C10" s="9" t="n">
        <f aca="false">SUMIF('GL Detail'!$C$4:$C$31,"Wages Expense",'GL Detail'!$D$4:$D$31)</f>
        <v>1800</v>
      </c>
    </row>
    <row r="11" customFormat="false" ht="15" hidden="false" customHeight="false" outlineLevel="0" collapsed="false">
      <c r="B11" s="8" t="s">
        <v>47</v>
      </c>
      <c r="C11" s="9" t="n">
        <f aca="false">SUMIF('GL Detail'!$C$4:$C$31,"Utilities Expense",'GL Detail'!$D$4:$D$31)</f>
        <v>350</v>
      </c>
    </row>
    <row r="12" customFormat="false" ht="15" hidden="false" customHeight="false" outlineLevel="0" collapsed="false">
      <c r="B12" s="7" t="s">
        <v>61</v>
      </c>
      <c r="C12" s="10" t="n">
        <f aca="false">SUM(C9:C11)</f>
        <v>2750</v>
      </c>
    </row>
    <row r="14" customFormat="false" ht="15" hidden="false" customHeight="false" outlineLevel="0" collapsed="false">
      <c r="B14" s="11" t="s">
        <v>62</v>
      </c>
      <c r="C14" s="12" t="n">
        <f aca="false">C6-C12</f>
        <v>6750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56</v>
      </c>
      <c r="B1" s="1"/>
      <c r="C1" s="1"/>
    </row>
    <row r="2" customFormat="false" ht="15" hidden="false" customHeight="false" outlineLevel="0" collapsed="false">
      <c r="A2" s="2" t="s">
        <v>63</v>
      </c>
      <c r="B2" s="2"/>
      <c r="C2" s="2"/>
    </row>
    <row r="3" customFormat="false" ht="15" hidden="false" customHeight="false" outlineLevel="0" collapsed="false">
      <c r="A3" s="2" t="s">
        <v>64</v>
      </c>
      <c r="B3" s="2"/>
      <c r="C3" s="2"/>
    </row>
    <row r="5" customFormat="false" ht="15" hidden="false" customHeight="false" outlineLevel="0" collapsed="false">
      <c r="A5" s="13" t="s">
        <v>52</v>
      </c>
      <c r="B5" s="13" t="s">
        <v>4</v>
      </c>
      <c r="C5" s="13" t="s">
        <v>5</v>
      </c>
    </row>
    <row r="6" customFormat="false" ht="15" hidden="false" customHeight="false" outlineLevel="0" collapsed="false">
      <c r="A6" s="4" t="s">
        <v>7</v>
      </c>
      <c r="B6" s="14" t="n">
        <f aca="false">SUMIF('GL Detail'!$C$4:$C$31,"Cash",'GL Detail'!$D$4:$D$31)-SUMIF('GL Detail'!$C$4:$C$31,"Cash",'GL Detail'!$E$4:$E$31)</f>
        <v>13600</v>
      </c>
      <c r="C6" s="15"/>
    </row>
    <row r="7" customFormat="false" ht="15" hidden="false" customHeight="false" outlineLevel="0" collapsed="false">
      <c r="A7" s="4" t="s">
        <v>24</v>
      </c>
      <c r="B7" s="14" t="n">
        <f aca="false">SUMIF('GL Detail'!$C$4:$C$31,"Accounts Receivable",'GL Detail'!$D$4:$D$31)-SUMIF('GL Detail'!$C$4:$C$31,"Accounts Receivable",'GL Detail'!$E$4:$E$31)</f>
        <v>3200</v>
      </c>
      <c r="C7" s="15"/>
    </row>
    <row r="8" customFormat="false" ht="15" hidden="false" customHeight="false" outlineLevel="0" collapsed="false">
      <c r="A8" s="4" t="s">
        <v>10</v>
      </c>
      <c r="B8" s="14" t="n">
        <f aca="false">SUMIF('GL Detail'!$C$4:$C$31,"Prepaid Rent",'GL Detail'!$D$4:$D$31)-SUMIF('GL Detail'!$C$4:$C$31,"Prepaid Rent",'GL Detail'!$E$4:$E$31)</f>
        <v>3000</v>
      </c>
      <c r="C8" s="15"/>
    </row>
    <row r="9" customFormat="false" ht="15" hidden="false" customHeight="false" outlineLevel="0" collapsed="false">
      <c r="A9" s="4" t="s">
        <v>18</v>
      </c>
      <c r="B9" s="14" t="n">
        <f aca="false">SUMIF('GL Detail'!$C$4:$C$31,"Supplies",'GL Detail'!$D$4:$D$31)-SUMIF('GL Detail'!$C$4:$C$31,"Supplies",'GL Detail'!$E$4:$E$31)</f>
        <v>500</v>
      </c>
      <c r="C9" s="15"/>
    </row>
    <row r="10" customFormat="false" ht="15" hidden="false" customHeight="false" outlineLevel="0" collapsed="false">
      <c r="A10" s="4" t="s">
        <v>14</v>
      </c>
      <c r="B10" s="14" t="n">
        <f aca="false">SUMIF('GL Detail'!$C$4:$C$31,"Equipment",'GL Detail'!$D$4:$D$31)-SUMIF('GL Detail'!$C$4:$C$31,"Equipment",'GL Detail'!$E$4:$E$31)</f>
        <v>8000</v>
      </c>
      <c r="C10" s="15"/>
    </row>
    <row r="11" customFormat="false" ht="15" hidden="false" customHeight="false" outlineLevel="0" collapsed="false">
      <c r="A11" s="4" t="s">
        <v>28</v>
      </c>
      <c r="B11" s="15"/>
      <c r="C11" s="14" t="n">
        <f aca="false">SUMIF('GL Detail'!$C$4:$C$31,"Accounts Payable",'GL Detail'!$E$4:$E$31)-SUMIF('GL Detail'!$C$4:$C$31,"Accounts Payable",'GL Detail'!$D$4:$D$31)</f>
        <v>0</v>
      </c>
    </row>
    <row r="12" customFormat="false" ht="15" hidden="false" customHeight="false" outlineLevel="0" collapsed="false">
      <c r="A12" s="4" t="s">
        <v>41</v>
      </c>
      <c r="B12" s="15"/>
      <c r="C12" s="14" t="n">
        <f aca="false">SUMIF('GL Detail'!$C$4:$C$31,"Deferred Revenue",'GL Detail'!$E$4:$E$31)-SUMIF('GL Detail'!$C$4:$C$31,"Deferred Revenue",'GL Detail'!$D$4:$D$31)</f>
        <v>1200</v>
      </c>
    </row>
    <row r="13" customFormat="false" ht="15" hidden="false" customHeight="false" outlineLevel="0" collapsed="false">
      <c r="A13" s="4" t="s">
        <v>55</v>
      </c>
      <c r="B13" s="15"/>
      <c r="C13" s="14" t="n">
        <f aca="false">SUMIF('GL Detail'!$C$4:$C$31,"Utilities Payable",'GL Detail'!$E$4:$E$31)-SUMIF('GL Detail'!$C$4:$C$31,"Utilities Payable",'GL Detail'!$D$4:$D$31)</f>
        <v>350</v>
      </c>
    </row>
    <row r="14" customFormat="false" ht="15" hidden="false" customHeight="false" outlineLevel="0" collapsed="false">
      <c r="A14" s="4" t="s">
        <v>53</v>
      </c>
      <c r="B14" s="15"/>
      <c r="C14" s="14" t="n">
        <f aca="false">SUMIF('GL Detail'!$C$4:$C$31,"Common Stock",'GL Detail'!$E$4:$E$31)-SUMIF('GL Detail'!$C$4:$C$31,"Common Stock",'GL Detail'!$D$4:$D$31)</f>
        <v>20000</v>
      </c>
    </row>
    <row r="15" customFormat="false" ht="15" hidden="false" customHeight="false" outlineLevel="0" collapsed="false">
      <c r="A15" s="4" t="s">
        <v>65</v>
      </c>
      <c r="B15" s="15"/>
      <c r="C15" s="14" t="n">
        <f aca="false">'Income Statement'!C14</f>
        <v>6750</v>
      </c>
    </row>
    <row r="17" customFormat="false" ht="15" hidden="false" customHeight="false" outlineLevel="0" collapsed="false">
      <c r="A17" s="7" t="s">
        <v>66</v>
      </c>
      <c r="B17" s="16" t="n">
        <f aca="false">SUM(B6:B15)</f>
        <v>28300</v>
      </c>
      <c r="C17" s="16" t="n">
        <f aca="false">SUM(C6:C15)</f>
        <v>28300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2026-07-28T23:12:25Z</dcterms:created>
  <dc:creator>openpyxl</dc:creator>
  <dc:description/>
  <dc:language>en-US</dc:language>
  <cp:lastModifiedBy/>
  <dcterms:modified xsi:type="dcterms:W3CDTF">2026-07-28T23:12:25Z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